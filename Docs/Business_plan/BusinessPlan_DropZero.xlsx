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intesi Esecutiva" sheetId="1" r:id="rId5"/>
    <sheet state="visible" name="2. Conto Economico" sheetId="2" r:id="rId6"/>
    <sheet state="visible" name="3. Flusso di Cassa" sheetId="3" r:id="rId7"/>
    <sheet state="visible" name="4. Ricavi Dettaglio" sheetId="4" r:id="rId8"/>
    <sheet state="visible" name="5. Costi Dettaglio" sheetId="5" r:id="rId9"/>
    <sheet state="visible" name="6. Team Evolution" sheetId="6" r:id="rId10"/>
    <sheet state="visible" name="7. Finanziamenti" sheetId="7" r:id="rId11"/>
    <sheet state="visible" name="8. Parametri" sheetId="8" r:id="rId12"/>
  </sheets>
  <definedNames/>
  <calcPr/>
</workbook>
</file>

<file path=xl/sharedStrings.xml><?xml version="1.0" encoding="utf-8"?>
<sst xmlns="http://schemas.openxmlformats.org/spreadsheetml/2006/main" count="213" uniqueCount="142">
  <si>
    <t>INDICATORE</t>
  </si>
  <si>
    <t>VALORE</t>
  </si>
  <si>
    <t>═══ FINANZIAMENTI ═══</t>
  </si>
  <si>
    <t>Capitale iniziale</t>
  </si>
  <si>
    <t>€13,000</t>
  </si>
  <si>
    <t>Soci (3 founder x €5.000)</t>
  </si>
  <si>
    <t>€15,000</t>
  </si>
  <si>
    <t>Bando R&amp;D Horizon Europe</t>
  </si>
  <si>
    <t>€80,000</t>
  </si>
  <si>
    <t>Smart&amp;Start Invitalia</t>
  </si>
  <si>
    <t>€60,000</t>
  </si>
  <si>
    <t>TOTALE RISORSE 2026</t>
  </si>
  <si>
    <t>€168,000</t>
  </si>
  <si>
    <t>═══ CRESCITA CLIENTI ═══</t>
  </si>
  <si>
    <t>Comuni 2026</t>
  </si>
  <si>
    <t>Comuni 2030</t>
  </si>
  <si>
    <t>Crescita comuni 5 anni</t>
  </si>
  <si>
    <t>+48 comuni</t>
  </si>
  <si>
    <t>Utenti 2026</t>
  </si>
  <si>
    <t>Utenti 2030</t>
  </si>
  <si>
    <t>Crescita utenti 5 anni</t>
  </si>
  <si>
    <t>+7400 utenti</t>
  </si>
  <si>
    <t>═══ RICAVI ═══</t>
  </si>
  <si>
    <t>Ricavi 2026</t>
  </si>
  <si>
    <t>Ricavi 2030</t>
  </si>
  <si>
    <t>CAGR Ricavi</t>
  </si>
  <si>
    <t>+97.1% annuo</t>
  </si>
  <si>
    <t>═══ REDDITIVITÀ ═══</t>
  </si>
  <si>
    <t>EBITDA 2026</t>
  </si>
  <si>
    <t>EBITDA 2030</t>
  </si>
  <si>
    <t>Margine EBITDA 2030</t>
  </si>
  <si>
    <t>68.4%</t>
  </si>
  <si>
    <t>Break-even EBITDA</t>
  </si>
  <si>
    <t>2028</t>
  </si>
  <si>
    <t>Utile 2026</t>
  </si>
  <si>
    <t>Utile 2030</t>
  </si>
  <si>
    <t>€680,173</t>
  </si>
  <si>
    <t>═══ CASSA E SOSTENIBILITÀ ═══</t>
  </si>
  <si>
    <t>Cassa minima (anno)</t>
  </si>
  <si>
    <t>2027</t>
  </si>
  <si>
    <t>Cassa minima (importo)</t>
  </si>
  <si>
    <t>€37,050</t>
  </si>
  <si>
    <t>Cassa finale 2030</t>
  </si>
  <si>
    <t>€739,847</t>
  </si>
  <si>
    <t>Break-even Cash Flow</t>
  </si>
  <si>
    <t>2029</t>
  </si>
  <si>
    <t>═══ TEAM ═══</t>
  </si>
  <si>
    <t>Team 2026</t>
  </si>
  <si>
    <t>3 persone (founder)</t>
  </si>
  <si>
    <t>Team 2030</t>
  </si>
  <si>
    <t>6 persone (team completo)</t>
  </si>
  <si>
    <t>Anno</t>
  </si>
  <si>
    <t>Ricavi Comuni (recurring)</t>
  </si>
  <si>
    <t>Ricavi Utenti (recurring)</t>
  </si>
  <si>
    <t>Setup Fee (non recurring)</t>
  </si>
  <si>
    <t>TOTALE RICAVI</t>
  </si>
  <si>
    <t>Contributi R&amp;D</t>
  </si>
  <si>
    <t>VALORE PRODUZIONE</t>
  </si>
  <si>
    <t>Costo Cloud/Hosting</t>
  </si>
  <si>
    <t>Costo API/Maps</t>
  </si>
  <si>
    <t>TOTALE COSTI VARIABILI</t>
  </si>
  <si>
    <t>MARGINE CONTRIBUZIONE</t>
  </si>
  <si>
    <t>Costo Personale</t>
  </si>
  <si>
    <t>(di cui TFR)</t>
  </si>
  <si>
    <t>Product Development</t>
  </si>
  <si>
    <t>Customer Acquisition</t>
  </si>
  <si>
    <t>Systems &amp; Operations</t>
  </si>
  <si>
    <t>Networking &amp; Biz Dev</t>
  </si>
  <si>
    <t>Admin &amp; Corporate</t>
  </si>
  <si>
    <t>TOTALE COSTI FISSI</t>
  </si>
  <si>
    <t>EBITDA</t>
  </si>
  <si>
    <t>Ammortamenti Materiali</t>
  </si>
  <si>
    <t>Ammortamenti Immateriali</t>
  </si>
  <si>
    <t>EBIT</t>
  </si>
  <si>
    <t>Interessi Prestito</t>
  </si>
  <si>
    <t>RISULTATO ANTE IMPOSTE</t>
  </si>
  <si>
    <t>Imposte (27.9%)</t>
  </si>
  <si>
    <t>RISULTATO ESERCIZIO</t>
  </si>
  <si>
    <t>Comuni clienti</t>
  </si>
  <si>
    <t>Utenti privati</t>
  </si>
  <si>
    <t>Cassa Iniziale</t>
  </si>
  <si>
    <t>Risultato Esercizio</t>
  </si>
  <si>
    <t>Crediti R&amp;D (-)</t>
  </si>
  <si>
    <t>Incassi R&amp;D (+)</t>
  </si>
  <si>
    <t>TFR (+)</t>
  </si>
  <si>
    <t>Ammortamenti (+)</t>
  </si>
  <si>
    <t>FLUSSO OPERATIVO</t>
  </si>
  <si>
    <t>Var. Crediti (-)</t>
  </si>
  <si>
    <t>Var. Debiti (+)</t>
  </si>
  <si>
    <t>FLUSSO CCN</t>
  </si>
  <si>
    <t>CAPEX (-)</t>
  </si>
  <si>
    <t>Pagamento Imposte (-)</t>
  </si>
  <si>
    <t>Investimento Soci (+)</t>
  </si>
  <si>
    <t>Anticipo Bando R&amp;D (+)</t>
  </si>
  <si>
    <t>Prestito Smart&amp;Start (+)</t>
  </si>
  <si>
    <t>Rimborso Prestito (-)</t>
  </si>
  <si>
    <t>FLUSSO FINANZIARIO</t>
  </si>
  <si>
    <t>CASH FLOW NETTO</t>
  </si>
  <si>
    <t>Cassa Finale</t>
  </si>
  <si>
    <t>Ruolo</t>
  </si>
  <si>
    <t>RAL</t>
  </si>
  <si>
    <t>Tipo Contratto</t>
  </si>
  <si>
    <t>Costo Aziendale</t>
  </si>
  <si>
    <t>Founder Dev 1</t>
  </si>
  <si>
    <t>COCOCO</t>
  </si>
  <si>
    <t>Founder Dev 2</t>
  </si>
  <si>
    <t>Founder PM</t>
  </si>
  <si>
    <t>APPRENDISTA</t>
  </si>
  <si>
    <t>DIPENDENTE</t>
  </si>
  <si>
    <t>Dev Junior</t>
  </si>
  <si>
    <t>Data Scientist</t>
  </si>
  <si>
    <t>Commerciale</t>
  </si>
  <si>
    <t>Investimento Soci</t>
  </si>
  <si>
    <t>Anticipo Bando R&amp;D</t>
  </si>
  <si>
    <t>Prestito Smart&amp;Start</t>
  </si>
  <si>
    <t>Rimborso Prestito</t>
  </si>
  <si>
    <t>FLUSSO FINANZIARIO NETTO</t>
  </si>
  <si>
    <t>PARAMETRO</t>
  </si>
  <si>
    <t>═══ CRESCITA CLIENTI ANNO PER ANNO ═══</t>
  </si>
  <si>
    <t>═══ CLIENTI ═══</t>
  </si>
  <si>
    <t>Comuni</t>
  </si>
  <si>
    <t>Utenti</t>
  </si>
  <si>
    <t>═══ PRICING ═══</t>
  </si>
  <si>
    <t>Prezzo comune/anno (2026)</t>
  </si>
  <si>
    <t>Crescita prezzo comuni</t>
  </si>
  <si>
    <t>Prezzo utente/mese (2026)</t>
  </si>
  <si>
    <t>Crescita prezzo utenti</t>
  </si>
  <si>
    <t>Setup fee per comune</t>
  </si>
  <si>
    <t>═══ COSTI ═══</t>
  </si>
  <si>
    <t>Costo cloud per utente/mese</t>
  </si>
  <si>
    <t>Costo API Maps anno base</t>
  </si>
  <si>
    <t>Crescita costo API</t>
  </si>
  <si>
    <t>═══ CAPITALE CIRCOLANTE ═══</t>
  </si>
  <si>
    <t>Giorni incasso clienti</t>
  </si>
  <si>
    <t>45 giorni</t>
  </si>
  <si>
    <t>Giorni pagamento fornitori</t>
  </si>
  <si>
    <t>60 giorni</t>
  </si>
  <si>
    <t>Investimento soci</t>
  </si>
  <si>
    <t>Bando R&amp;D totale</t>
  </si>
  <si>
    <t>Smart&amp;Start totale</t>
  </si>
  <si>
    <t>Rata rimborso annuale</t>
  </si>
  <si>
    <t>€15,000/anno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</si>
</sst>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/>
    </xf>
    <xf borderId="4" fillId="0" fontId="4" numFmtId="0" xfId="0" applyBorder="1" applyFont="1"/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Andamento ricavi ed EBITDA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'2. Conto Economico'!$E$1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'2. Conto Economico'!$A$2:$A$6</c:f>
            </c:strRef>
          </c:cat>
          <c:val>
            <c:numRef>
              <c:f>'2. Conto Economico'!$E$2:$E$6</c:f>
              <c:numCache/>
            </c:numRef>
          </c:val>
          <c:smooth val="0"/>
        </c:ser>
        <c:ser>
          <c:idx val="1"/>
          <c:order val="1"/>
          <c:tx>
            <c:strRef>
              <c:f>'2. Conto Economico'!$T$1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'2. Conto Economico'!$A$2:$A$6</c:f>
            </c:strRef>
          </c:cat>
          <c:val>
            <c:numRef>
              <c:f>'2. Conto Economico'!$T$2:$T$6</c:f>
              <c:numCache/>
            </c:numRef>
          </c:val>
          <c:smooth val="0"/>
        </c:ser>
        <c:axId val="1339411322"/>
        <c:axId val="420702452"/>
      </c:lineChart>
      <c:catAx>
        <c:axId val="1339411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0702452"/>
      </c:catAx>
      <c:valAx>
        <c:axId val="420702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94113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Evoluzione cassa nel tempo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'3. Flusso di Cassa'!$V$1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'3. Flusso di Cassa'!$A$2:$A$6</c:f>
            </c:strRef>
          </c:cat>
          <c:val>
            <c:numRef>
              <c:f>'3. Flusso di Cassa'!$V$2:$V$6</c:f>
              <c:numCache/>
            </c:numRef>
          </c:val>
          <c:smooth val="0"/>
        </c:ser>
        <c:axId val="485071426"/>
        <c:axId val="1925913174"/>
      </c:lineChart>
      <c:catAx>
        <c:axId val="485071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5913174"/>
      </c:catAx>
      <c:valAx>
        <c:axId val="1925913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Cassa Finale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50714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Crescita dei comuni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'3. Flusso di Cassa'!$B$1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circle"/>
            <c:size val="10"/>
            <c:spPr>
              <a:solidFill>
                <a:srgbClr val="FF9900"/>
              </a:solidFill>
              <a:ln cmpd="sng">
                <a:solidFill>
                  <a:srgbClr val="FF9900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'3. Flusso di Cassa'!$A$2:$A$6</c:f>
            </c:strRef>
          </c:cat>
          <c:val>
            <c:numRef>
              <c:f>'3. Flusso di Cassa'!$B$2:$B$6</c:f>
              <c:numCache/>
            </c:numRef>
          </c:val>
          <c:smooth val="0"/>
        </c:ser>
        <c:axId val="416553954"/>
        <c:axId val="1022141439"/>
      </c:lineChart>
      <c:catAx>
        <c:axId val="416553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2141439"/>
      </c:catAx>
      <c:valAx>
        <c:axId val="1022141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Comuni clienti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65539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Crescita degli utenti (correlata alla crescita dei comuni)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'3. Flusso di Cassa'!$C$1</c:f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'3. Flusso di Cassa'!$A$2:$A$6</c:f>
            </c:strRef>
          </c:cat>
          <c:val>
            <c:numRef>
              <c:f>'3. Flusso di Cassa'!$C$2:$C$6</c:f>
              <c:numCache/>
            </c:numRef>
          </c:val>
          <c:smooth val="0"/>
        </c:ser>
        <c:axId val="654636986"/>
        <c:axId val="1342180755"/>
      </c:lineChart>
      <c:catAx>
        <c:axId val="654636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2180755"/>
      </c:catAx>
      <c:valAx>
        <c:axId val="1342180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Utenti privati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46369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Breakdown ricavi per segmento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 Ricavi Dettaglio'!$D$1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'4. Ricavi Dettaglio'!$A$2:$A$6</c:f>
            </c:strRef>
          </c:cat>
          <c:val>
            <c:numRef>
              <c:f>'4. Ricavi Dettaglio'!$D$2:$D$6</c:f>
              <c:numCache/>
            </c:numRef>
          </c:val>
        </c:ser>
        <c:ser>
          <c:idx val="1"/>
          <c:order val="1"/>
          <c:tx>
            <c:strRef>
              <c:f>'4. Ricavi Dettaglio'!$E$1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'4. Ricavi Dettaglio'!$A$2:$A$6</c:f>
            </c:strRef>
          </c:cat>
          <c:val>
            <c:numRef>
              <c:f>'4. Ricavi Dettaglio'!$E$2:$E$6</c:f>
              <c:numCache/>
            </c:numRef>
          </c:val>
        </c:ser>
        <c:ser>
          <c:idx val="2"/>
          <c:order val="2"/>
          <c:tx>
            <c:strRef>
              <c:f>'4. Ricavi Dettaglio'!$F$1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'4. Ricavi Dettaglio'!$A$2:$A$6</c:f>
            </c:strRef>
          </c:cat>
          <c:val>
            <c:numRef>
              <c:f>'4. Ricavi Dettaglio'!$F$2:$F$6</c:f>
              <c:numCache/>
            </c:numRef>
          </c:val>
        </c:ser>
        <c:axId val="1905777197"/>
        <c:axId val="336603112"/>
      </c:barChart>
      <c:catAx>
        <c:axId val="1905777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6603112"/>
      </c:catAx>
      <c:valAx>
        <c:axId val="336603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57771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Struttura costi fissi</a:t>
            </a:r>
          </a:p>
        </c:rich>
      </c:tx>
      <c:layout>
        <c:manualLayout>
          <c:xMode val="edge"/>
          <c:yMode val="edge"/>
          <c:x val="0.01730561555075594"/>
          <c:y val="0.0500000000000000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'5. Costi Dettaglio'!$C$1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Dettaglio'!$C$2:$C$6</c:f>
              <c:numCache/>
            </c:numRef>
          </c:val>
        </c:ser>
        <c:ser>
          <c:idx val="1"/>
          <c:order val="1"/>
          <c:tx>
            <c:strRef>
              <c:f>'5. Costi Dettaglio'!$E$1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Dettaglio'!$E$2:$E$6</c:f>
              <c:numCache/>
            </c:numRef>
          </c:val>
        </c:ser>
        <c:ser>
          <c:idx val="2"/>
          <c:order val="2"/>
          <c:tx>
            <c:strRef>
              <c:f>'5. Costi Dettaglio'!$F$1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Dettaglio'!$F$2:$F$6</c:f>
              <c:numCache/>
            </c:numRef>
          </c:val>
        </c:ser>
        <c:ser>
          <c:idx val="3"/>
          <c:order val="3"/>
          <c:tx>
            <c:strRef>
              <c:f>'5. Costi Dettaglio'!$G$1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Dettaglio'!$G$2:$G$6</c:f>
              <c:numCache/>
            </c:numRef>
          </c:val>
        </c:ser>
        <c:ser>
          <c:idx val="4"/>
          <c:order val="4"/>
          <c:tx>
            <c:strRef>
              <c:f>'5. Costi Dettaglio'!$H$1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Dettaglio'!$H$2:$H$6</c:f>
              <c:numCache/>
            </c:numRef>
          </c:val>
        </c:ser>
        <c:ser>
          <c:idx val="5"/>
          <c:order val="5"/>
          <c:tx>
            <c:strRef>
              <c:f>'5. Costi Dettaglio'!$I$1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'5. Costi Dettaglio'!$A$2:$A$6</c:f>
            </c:strRef>
          </c:cat>
          <c:val>
            <c:numRef>
              <c:f>'5. Costi Dettaglio'!$I$2:$I$6</c:f>
              <c:numCache/>
            </c:numRef>
          </c:val>
        </c:ser>
        <c:axId val="633628966"/>
        <c:axId val="317258245"/>
      </c:barChart>
      <c:catAx>
        <c:axId val="63362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7258245"/>
      </c:catAx>
      <c:valAx>
        <c:axId val="317258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36289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Grafico finanziamenti (una tantum vs rimborsi)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 Finanziamenti'!$B$1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'7. Finanziamenti'!$A$2:$A$6</c:f>
            </c:strRef>
          </c:cat>
          <c:val>
            <c:numRef>
              <c:f>'7. Finanziamenti'!$B$2:$B$6</c:f>
              <c:numCache/>
            </c:numRef>
          </c:val>
        </c:ser>
        <c:ser>
          <c:idx val="1"/>
          <c:order val="1"/>
          <c:tx>
            <c:strRef>
              <c:f>'7. Finanziamenti'!$C$1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'7. Finanziamenti'!$A$2:$A$6</c:f>
            </c:strRef>
          </c:cat>
          <c:val>
            <c:numRef>
              <c:f>'7. Finanziamenti'!$C$2:$C$6</c:f>
              <c:numCache/>
            </c:numRef>
          </c:val>
        </c:ser>
        <c:ser>
          <c:idx val="2"/>
          <c:order val="2"/>
          <c:tx>
            <c:strRef>
              <c:f>'7. Finanziamenti'!$D$1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'7. Finanziamenti'!$A$2:$A$6</c:f>
            </c:strRef>
          </c:cat>
          <c:val>
            <c:numRef>
              <c:f>'7. Finanziamenti'!$D$2:$D$6</c:f>
              <c:numCache/>
            </c:numRef>
          </c:val>
        </c:ser>
        <c:ser>
          <c:idx val="3"/>
          <c:order val="3"/>
          <c:tx>
            <c:strRef>
              <c:f>'7. Finanziamenti'!$E$1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'7. Finanziamenti'!$A$2:$A$6</c:f>
            </c:strRef>
          </c:cat>
          <c:val>
            <c:numRef>
              <c:f>'7. Finanziamenti'!$E$2:$E$6</c:f>
              <c:numCache/>
            </c:numRef>
          </c:val>
        </c:ser>
        <c:axId val="183457272"/>
        <c:axId val="865720507"/>
      </c:barChart>
      <c:catAx>
        <c:axId val="183457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5720507"/>
      </c:catAx>
      <c:valAx>
        <c:axId val="865720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4572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9172575" cy="5667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8248650" cy="5105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9</xdr:row>
      <xdr:rowOff>28575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933450</xdr:colOff>
      <xdr:row>28</xdr:row>
      <xdr:rowOff>28575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0</xdr:rowOff>
    </xdr:from>
    <xdr:ext cx="8534400" cy="52768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7640300" cy="62960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8667750" cy="53625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57"/>
    <col customWidth="1" min="3" max="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5</v>
      </c>
      <c r="B4" s="5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</v>
      </c>
      <c r="B6" s="5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13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14</v>
      </c>
      <c r="B10" s="5">
        <f>'8. Parametri'!E3</f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15</v>
      </c>
      <c r="B11" s="5">
        <f>'8. Parametri'!E7</f>
        <v>35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16</v>
      </c>
      <c r="B12" s="5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18</v>
      </c>
      <c r="B13" s="5">
        <v>100.0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19</v>
      </c>
      <c r="B14" s="5">
        <v>7500.0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20</v>
      </c>
      <c r="B15" s="5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22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23</v>
      </c>
      <c r="B18" s="5">
        <f>'2. Conto Economico'!E2</f>
        <v>33000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24</v>
      </c>
      <c r="B19" s="7">
        <f>'2. Conto Economico'!E6</f>
        <v>1568470.554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25</v>
      </c>
      <c r="B20" s="5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27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28</v>
      </c>
      <c r="B23" s="5">
        <f>'2. Conto Economico'!T2</f>
        <v>-64340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29</v>
      </c>
      <c r="B24" s="7">
        <f>'2. Conto Economico'!T6</f>
        <v>1023567.045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30</v>
      </c>
      <c r="B25" s="5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32</v>
      </c>
      <c r="B26" s="5" t="s">
        <v>33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34</v>
      </c>
      <c r="B28" s="8">
        <f>'2. Conto Economico'!AA2</f>
        <v>-68740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35</v>
      </c>
      <c r="B29" s="8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37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38</v>
      </c>
      <c r="B32" s="5" t="s">
        <v>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40</v>
      </c>
      <c r="B33" s="5" t="s">
        <v>41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42</v>
      </c>
      <c r="B34" s="5" t="s">
        <v>43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44</v>
      </c>
      <c r="B35" s="5" t="s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46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 t="s">
        <v>47</v>
      </c>
      <c r="B38" s="5" t="s">
        <v>48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49</v>
      </c>
      <c r="B39" s="5" t="s">
        <v>50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6">
    <mergeCell ref="A2:B2"/>
    <mergeCell ref="A9:B9"/>
    <mergeCell ref="A17:B17"/>
    <mergeCell ref="A22:B22"/>
    <mergeCell ref="A31:B31"/>
    <mergeCell ref="A37:B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28.14"/>
  </cols>
  <sheetData>
    <row r="1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  <c r="Y1" s="9" t="s">
        <v>75</v>
      </c>
      <c r="Z1" s="9" t="s">
        <v>76</v>
      </c>
      <c r="AA1" s="9" t="s">
        <v>77</v>
      </c>
    </row>
    <row r="2">
      <c r="A2" s="10">
        <v>2026.0</v>
      </c>
      <c r="B2" s="5">
        <f>'4. Ricavi Dettaglio'!D2</f>
        <v>12000</v>
      </c>
      <c r="C2" s="5">
        <f>'4. Ricavi Dettaglio'!E2</f>
        <v>18000</v>
      </c>
      <c r="D2" s="5">
        <f>'4. Ricavi Dettaglio'!F2</f>
        <v>3000</v>
      </c>
      <c r="E2" s="5">
        <f t="shared" ref="E2:E6" si="1">B2+C2+D2</f>
        <v>33000</v>
      </c>
      <c r="F2" s="5">
        <v>20000.0</v>
      </c>
      <c r="G2" s="5">
        <f t="shared" ref="G2:G6" si="2">E2+F2</f>
        <v>53000</v>
      </c>
      <c r="H2" s="5">
        <f>'4. Ricavi Dettaglio'!C2*'8. Parametri'!$B$16*12</f>
        <v>3000</v>
      </c>
      <c r="I2" s="5">
        <f>'8. Parametri'!$B$17*(1+'8. Parametri'!$B$18)^0</f>
        <v>1500</v>
      </c>
      <c r="J2" s="5">
        <f t="shared" ref="J2:J6" si="3">H2+I2</f>
        <v>4500</v>
      </c>
      <c r="K2" s="5">
        <f t="shared" ref="K2:K6" si="4">G2-J2</f>
        <v>48500</v>
      </c>
      <c r="L2" s="5">
        <v>81840.0</v>
      </c>
      <c r="M2" s="5">
        <v>0.0</v>
      </c>
      <c r="N2" s="5">
        <v>9000.0</v>
      </c>
      <c r="O2" s="5">
        <v>5000.0</v>
      </c>
      <c r="P2" s="5">
        <v>6000.0</v>
      </c>
      <c r="Q2" s="5">
        <v>6000.0</v>
      </c>
      <c r="R2" s="5">
        <v>5000.0</v>
      </c>
      <c r="S2" s="5">
        <f t="shared" ref="S2:S6" si="5">L2+N2+O2+P2+Q2+R2</f>
        <v>112840</v>
      </c>
      <c r="T2" s="5">
        <f t="shared" ref="T2:T6" si="6">K2-S2</f>
        <v>-64340</v>
      </c>
      <c r="U2" s="5">
        <v>600.0</v>
      </c>
      <c r="V2" s="5">
        <v>2000.0</v>
      </c>
      <c r="W2" s="5">
        <f t="shared" ref="W2:W6" si="7">T2-U2-V2</f>
        <v>-66940</v>
      </c>
      <c r="X2" s="5">
        <v>1800.0</v>
      </c>
      <c r="Y2" s="5">
        <f t="shared" ref="Y2:Y6" si="8">W2-X2</f>
        <v>-68740</v>
      </c>
      <c r="Z2" s="5">
        <f t="shared" ref="Z2:Z6" si="9">IF(Y2&gt;0,Y2*0.279,0)</f>
        <v>0</v>
      </c>
      <c r="AA2" s="5">
        <f t="shared" ref="AA2:AA6" si="10">Y2-Z2</f>
        <v>-68740</v>
      </c>
    </row>
    <row r="3">
      <c r="A3" s="10">
        <v>2027.0</v>
      </c>
      <c r="B3" s="5">
        <f>'4. Ricavi Dettaglio'!D3</f>
        <v>50400</v>
      </c>
      <c r="C3" s="5">
        <f>'4. Ricavi Dettaglio'!E3</f>
        <v>74160</v>
      </c>
      <c r="D3" s="5">
        <f>'4. Ricavi Dettaglio'!F3</f>
        <v>9000</v>
      </c>
      <c r="E3" s="5">
        <f t="shared" si="1"/>
        <v>133560</v>
      </c>
      <c r="F3" s="5">
        <v>35000.0</v>
      </c>
      <c r="G3" s="5">
        <f t="shared" si="2"/>
        <v>168560</v>
      </c>
      <c r="H3" s="5">
        <f>'4. Ricavi Dettaglio'!C3*'8. Parametri'!$B$16*12</f>
        <v>12000</v>
      </c>
      <c r="I3" s="5">
        <f>'8. Parametri'!$B$17*(1+'8. Parametri'!$B$18)^1</f>
        <v>1725</v>
      </c>
      <c r="J3" s="5">
        <f t="shared" si="3"/>
        <v>13725</v>
      </c>
      <c r="K3" s="5">
        <f t="shared" si="4"/>
        <v>154835</v>
      </c>
      <c r="L3" s="5">
        <v>100800.0</v>
      </c>
      <c r="M3" s="5">
        <v>5800.0</v>
      </c>
      <c r="N3" s="5">
        <v>15000.0</v>
      </c>
      <c r="O3" s="5">
        <v>12000.0</v>
      </c>
      <c r="P3" s="5">
        <v>10000.0</v>
      </c>
      <c r="Q3" s="5">
        <v>12000.0</v>
      </c>
      <c r="R3" s="5">
        <v>6000.0</v>
      </c>
      <c r="S3" s="5">
        <f t="shared" si="5"/>
        <v>155800</v>
      </c>
      <c r="T3" s="5">
        <f t="shared" si="6"/>
        <v>-965</v>
      </c>
      <c r="U3" s="5">
        <v>1800.0</v>
      </c>
      <c r="V3" s="5">
        <v>3200.0</v>
      </c>
      <c r="W3" s="5">
        <f t="shared" si="7"/>
        <v>-5965</v>
      </c>
      <c r="X3" s="5">
        <v>1350.0</v>
      </c>
      <c r="Y3" s="5">
        <f t="shared" si="8"/>
        <v>-7315</v>
      </c>
      <c r="Z3" s="5">
        <f t="shared" si="9"/>
        <v>0</v>
      </c>
      <c r="AA3" s="5">
        <f t="shared" si="10"/>
        <v>-7315</v>
      </c>
    </row>
    <row r="4">
      <c r="A4" s="10">
        <v>2028.0</v>
      </c>
      <c r="B4" s="5">
        <f>'4. Ricavi Dettaglio'!D4</f>
        <v>132300</v>
      </c>
      <c r="C4" s="5">
        <f>'4. Ricavi Dettaglio'!E4</f>
        <v>190962</v>
      </c>
      <c r="D4" s="5">
        <f>'4. Ricavi Dettaglio'!F4</f>
        <v>18000</v>
      </c>
      <c r="E4" s="5">
        <f t="shared" si="1"/>
        <v>341262</v>
      </c>
      <c r="F4" s="5">
        <v>45000.0</v>
      </c>
      <c r="G4" s="5">
        <f t="shared" si="2"/>
        <v>386262</v>
      </c>
      <c r="H4" s="5">
        <f>'4. Ricavi Dettaglio'!C4*'8. Parametri'!$B$16*12</f>
        <v>30000</v>
      </c>
      <c r="I4" s="5">
        <f>'8. Parametri'!$B$17*(1+'8. Parametri'!$B$18)^2</f>
        <v>1983.75</v>
      </c>
      <c r="J4" s="5">
        <f t="shared" si="3"/>
        <v>31983.75</v>
      </c>
      <c r="K4" s="5">
        <f t="shared" si="4"/>
        <v>354278.25</v>
      </c>
      <c r="L4" s="5">
        <v>204400.0</v>
      </c>
      <c r="M4" s="5">
        <v>11940.0</v>
      </c>
      <c r="N4" s="5">
        <v>24000.0</v>
      </c>
      <c r="O4" s="5">
        <v>22000.0</v>
      </c>
      <c r="P4" s="5">
        <v>14000.0</v>
      </c>
      <c r="Q4" s="5">
        <v>24000.0</v>
      </c>
      <c r="R4" s="5">
        <v>7000.0</v>
      </c>
      <c r="S4" s="5">
        <f t="shared" si="5"/>
        <v>295400</v>
      </c>
      <c r="T4" s="5">
        <f t="shared" si="6"/>
        <v>58878.25</v>
      </c>
      <c r="U4" s="5">
        <v>3400.0</v>
      </c>
      <c r="V4" s="5">
        <v>4000.0</v>
      </c>
      <c r="W4" s="5">
        <f t="shared" si="7"/>
        <v>51478.25</v>
      </c>
      <c r="X4" s="5">
        <v>900.0</v>
      </c>
      <c r="Y4" s="5">
        <f t="shared" si="8"/>
        <v>50578.25</v>
      </c>
      <c r="Z4" s="7">
        <f t="shared" si="9"/>
        <v>14111.33175</v>
      </c>
      <c r="AA4" s="7">
        <f t="shared" si="10"/>
        <v>36466.91825</v>
      </c>
    </row>
    <row r="5">
      <c r="A5" s="10">
        <v>2029.0</v>
      </c>
      <c r="B5" s="5">
        <f>'4. Ricavi Dettaglio'!D5</f>
        <v>277830</v>
      </c>
      <c r="C5" s="7">
        <f>'4. Ricavi Dettaglio'!E5</f>
        <v>472058.064</v>
      </c>
      <c r="D5" s="5">
        <f>'4. Ricavi Dettaglio'!F5</f>
        <v>30000</v>
      </c>
      <c r="E5" s="7">
        <f t="shared" si="1"/>
        <v>779888.064</v>
      </c>
      <c r="F5" s="5">
        <v>40000.0</v>
      </c>
      <c r="G5" s="7">
        <f t="shared" si="2"/>
        <v>819888.064</v>
      </c>
      <c r="H5" s="5">
        <f>'4. Ricavi Dettaglio'!C5*'8. Parametri'!$B$16*12</f>
        <v>72000</v>
      </c>
      <c r="I5" s="7">
        <f>'8. Parametri'!$B$17*(1+'8. Parametri'!$B$18)^3</f>
        <v>2281.3125</v>
      </c>
      <c r="J5" s="7">
        <f t="shared" si="3"/>
        <v>74281.3125</v>
      </c>
      <c r="K5" s="7">
        <f t="shared" si="4"/>
        <v>745606.7515</v>
      </c>
      <c r="L5" s="5">
        <v>249600.0</v>
      </c>
      <c r="M5" s="5">
        <v>11060.0</v>
      </c>
      <c r="N5" s="5">
        <v>28000.0</v>
      </c>
      <c r="O5" s="5">
        <v>30000.0</v>
      </c>
      <c r="P5" s="5">
        <v>18000.0</v>
      </c>
      <c r="Q5" s="5">
        <v>32000.0</v>
      </c>
      <c r="R5" s="5">
        <v>8000.0</v>
      </c>
      <c r="S5" s="5">
        <f t="shared" si="5"/>
        <v>365600</v>
      </c>
      <c r="T5" s="7">
        <f t="shared" si="6"/>
        <v>380006.7515</v>
      </c>
      <c r="U5" s="5">
        <v>5400.0</v>
      </c>
      <c r="V5" s="5">
        <v>5200.0</v>
      </c>
      <c r="W5" s="7">
        <f t="shared" si="7"/>
        <v>369406.7515</v>
      </c>
      <c r="X5" s="5">
        <v>450.0</v>
      </c>
      <c r="Y5" s="7">
        <f t="shared" si="8"/>
        <v>368956.7515</v>
      </c>
      <c r="Z5" s="7">
        <f t="shared" si="9"/>
        <v>102938.9337</v>
      </c>
      <c r="AA5" s="7">
        <f t="shared" si="10"/>
        <v>266017.8178</v>
      </c>
    </row>
    <row r="6">
      <c r="A6" s="10">
        <v>2030.0</v>
      </c>
      <c r="B6" s="7">
        <f>'4. Ricavi Dettaglio'!D6</f>
        <v>510512.625</v>
      </c>
      <c r="C6" s="7">
        <f>'4. Ricavi Dettaglio'!E6</f>
        <v>1012957.929</v>
      </c>
      <c r="D6" s="5">
        <f>'4. Ricavi Dettaglio'!F6</f>
        <v>45000</v>
      </c>
      <c r="E6" s="7">
        <f t="shared" si="1"/>
        <v>1568470.554</v>
      </c>
      <c r="F6" s="5">
        <v>20000.0</v>
      </c>
      <c r="G6" s="7">
        <f t="shared" si="2"/>
        <v>1588470.554</v>
      </c>
      <c r="H6" s="5">
        <f>'4. Ricavi Dettaglio'!C6*'8. Parametri'!$B$16*12</f>
        <v>150000</v>
      </c>
      <c r="I6" s="7">
        <f>'8. Parametri'!$B$17*(1+'8. Parametri'!$B$18)^4</f>
        <v>2623.509375</v>
      </c>
      <c r="J6" s="7">
        <f t="shared" si="3"/>
        <v>152623.5094</v>
      </c>
      <c r="K6" s="7">
        <f t="shared" si="4"/>
        <v>1435847.045</v>
      </c>
      <c r="L6" s="5">
        <v>269280.0</v>
      </c>
      <c r="M6" s="5">
        <v>13860.0</v>
      </c>
      <c r="N6" s="5">
        <v>32000.0</v>
      </c>
      <c r="O6" s="5">
        <v>38000.0</v>
      </c>
      <c r="P6" s="5">
        <v>22000.0</v>
      </c>
      <c r="Q6" s="5">
        <v>42000.0</v>
      </c>
      <c r="R6" s="5">
        <v>9000.0</v>
      </c>
      <c r="S6" s="5">
        <f t="shared" si="5"/>
        <v>412280</v>
      </c>
      <c r="T6" s="7">
        <f t="shared" si="6"/>
        <v>1023567.045</v>
      </c>
      <c r="U6" s="5">
        <v>7800.0</v>
      </c>
      <c r="V6" s="5">
        <v>6800.0</v>
      </c>
      <c r="W6" s="7">
        <f t="shared" si="7"/>
        <v>1008967.045</v>
      </c>
      <c r="X6" s="5">
        <v>0.0</v>
      </c>
      <c r="Y6" s="7">
        <f t="shared" si="8"/>
        <v>1008967.045</v>
      </c>
      <c r="Z6" s="7">
        <f t="shared" si="9"/>
        <v>281501.8055</v>
      </c>
      <c r="AA6" s="7">
        <f t="shared" si="10"/>
        <v>727465.2392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23.57"/>
  </cols>
  <sheetData>
    <row r="1">
      <c r="A1" s="9" t="s">
        <v>51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  <c r="N1" s="9" t="s">
        <v>90</v>
      </c>
      <c r="O1" s="9" t="s">
        <v>91</v>
      </c>
      <c r="P1" s="9" t="s">
        <v>92</v>
      </c>
      <c r="Q1" s="9" t="s">
        <v>93</v>
      </c>
      <c r="R1" s="9" t="s">
        <v>94</v>
      </c>
      <c r="S1" s="9" t="s">
        <v>95</v>
      </c>
      <c r="T1" s="9" t="s">
        <v>96</v>
      </c>
      <c r="U1" s="9" t="s">
        <v>97</v>
      </c>
      <c r="V1" s="9" t="s">
        <v>98</v>
      </c>
      <c r="W1" s="2"/>
      <c r="X1" s="2"/>
      <c r="Y1" s="2"/>
      <c r="Z1" s="2"/>
    </row>
    <row r="2">
      <c r="A2" s="10">
        <v>2026.0</v>
      </c>
      <c r="B2" s="5">
        <f>'4. Ricavi Dettaglio'!B2</f>
        <v>1</v>
      </c>
      <c r="C2" s="5">
        <f>'4. Ricavi Dettaglio'!C2</f>
        <v>500</v>
      </c>
      <c r="D2" s="5">
        <v>13000.0</v>
      </c>
      <c r="E2" s="5">
        <f>'2. Conto Economico'!AA2</f>
        <v>-68740</v>
      </c>
      <c r="F2" s="5">
        <v>-20000.0</v>
      </c>
      <c r="G2" s="5">
        <v>8000.0</v>
      </c>
      <c r="H2" s="5">
        <v>0.0</v>
      </c>
      <c r="I2" s="5">
        <f>'2. Conto Economico'!U2+'2. Conto Economico'!V2</f>
        <v>2600</v>
      </c>
      <c r="J2" s="5">
        <f t="shared" ref="J2:J6" si="1">E2+F2+G2+H2+I2</f>
        <v>-78140</v>
      </c>
      <c r="K2" s="7">
        <f>-(('2. Conto Economico'!E2*45/365)-0)</f>
        <v>-4068.493151</v>
      </c>
      <c r="L2" s="7">
        <f>(('5. Costi Dettaglio'!B2*60/365)-0)</f>
        <v>739.7260274</v>
      </c>
      <c r="M2" s="7">
        <f t="shared" ref="M2:M6" si="2">K2+L2</f>
        <v>-3328.767123</v>
      </c>
      <c r="N2" s="5">
        <v>-13000.0</v>
      </c>
      <c r="O2" s="5">
        <v>0.0</v>
      </c>
      <c r="P2" s="5">
        <v>15000.0</v>
      </c>
      <c r="Q2" s="5">
        <v>80000.0</v>
      </c>
      <c r="R2" s="5">
        <v>60000.0</v>
      </c>
      <c r="S2" s="5">
        <v>0.0</v>
      </c>
      <c r="T2" s="5">
        <f t="shared" ref="T2:T6" si="3">P2+Q2+R2+S2</f>
        <v>155000</v>
      </c>
      <c r="U2" s="7">
        <f t="shared" ref="U2:U6" si="4">J2+M2+N2+O2+T2</f>
        <v>60531.23288</v>
      </c>
      <c r="V2" s="7">
        <f t="shared" ref="V2:V6" si="5">D2+U2</f>
        <v>73531.23288</v>
      </c>
      <c r="W2" s="2"/>
      <c r="X2" s="2"/>
      <c r="Y2" s="2"/>
      <c r="Z2" s="2"/>
    </row>
    <row r="3">
      <c r="A3" s="10">
        <v>2027.0</v>
      </c>
      <c r="B3" s="5">
        <f>'4. Ricavi Dettaglio'!B3</f>
        <v>4</v>
      </c>
      <c r="C3" s="5">
        <f>'4. Ricavi Dettaglio'!C3</f>
        <v>2000</v>
      </c>
      <c r="D3" s="7">
        <f t="shared" ref="D3:D6" si="6">V2</f>
        <v>73531.23288</v>
      </c>
      <c r="E3" s="5">
        <f>'2. Conto Economico'!AA3</f>
        <v>-7315</v>
      </c>
      <c r="F3" s="5">
        <v>-35000.0</v>
      </c>
      <c r="G3" s="5">
        <v>26000.0</v>
      </c>
      <c r="H3" s="5">
        <v>5800.0</v>
      </c>
      <c r="I3" s="5">
        <f>'2. Conto Economico'!U3+'2. Conto Economico'!V3</f>
        <v>5000</v>
      </c>
      <c r="J3" s="5">
        <f t="shared" si="1"/>
        <v>-5515</v>
      </c>
      <c r="K3" s="7">
        <f>-(('2. Conto Economico'!E3*45/365)-('2. Conto Economico'!E2*45/365))</f>
        <v>-12397.80822</v>
      </c>
      <c r="L3" s="7">
        <f>(('5. Costi Dettaglio'!B3*60/365)-('5. Costi Dettaglio'!B2*60/365))</f>
        <v>1516.438356</v>
      </c>
      <c r="M3" s="7">
        <f t="shared" si="2"/>
        <v>-10881.36986</v>
      </c>
      <c r="N3" s="5">
        <v>-11000.0</v>
      </c>
      <c r="O3" s="5">
        <v>0.0</v>
      </c>
      <c r="P3" s="5">
        <v>0.0</v>
      </c>
      <c r="Q3" s="5">
        <v>0.0</v>
      </c>
      <c r="R3" s="5">
        <v>0.0</v>
      </c>
      <c r="S3" s="5">
        <v>-15000.0</v>
      </c>
      <c r="T3" s="5">
        <f t="shared" si="3"/>
        <v>-15000</v>
      </c>
      <c r="U3" s="7">
        <f t="shared" si="4"/>
        <v>-42396.36986</v>
      </c>
      <c r="V3" s="7">
        <f t="shared" si="5"/>
        <v>31134.86301</v>
      </c>
      <c r="W3" s="2"/>
      <c r="X3" s="2"/>
      <c r="Y3" s="2"/>
      <c r="Z3" s="2"/>
    </row>
    <row r="4">
      <c r="A4" s="10">
        <v>2028.0</v>
      </c>
      <c r="B4" s="5">
        <f>'4. Ricavi Dettaglio'!B4</f>
        <v>10</v>
      </c>
      <c r="C4" s="5">
        <f>'4. Ricavi Dettaglio'!C4</f>
        <v>5000</v>
      </c>
      <c r="D4" s="7">
        <f t="shared" si="6"/>
        <v>31134.86301</v>
      </c>
      <c r="E4" s="7">
        <f>'2. Conto Economico'!AA4</f>
        <v>36466.91825</v>
      </c>
      <c r="F4" s="5">
        <v>-45000.0</v>
      </c>
      <c r="G4" s="5">
        <v>39000.0</v>
      </c>
      <c r="H4" s="5">
        <v>10360.0</v>
      </c>
      <c r="I4" s="5">
        <f>'2. Conto Economico'!U4+'2. Conto Economico'!V4</f>
        <v>7400</v>
      </c>
      <c r="J4" s="7">
        <f t="shared" si="1"/>
        <v>48226.91825</v>
      </c>
      <c r="K4" s="7">
        <f>-(('2. Conto Economico'!E4*45/365)-('2. Conto Economico'!E3*45/365))</f>
        <v>-25607.09589</v>
      </c>
      <c r="L4" s="7">
        <f>(('5. Costi Dettaglio'!B4*60/365)-('5. Costi Dettaglio'!B3*60/365))</f>
        <v>3001.438356</v>
      </c>
      <c r="M4" s="7">
        <f t="shared" si="2"/>
        <v>-22605.65753</v>
      </c>
      <c r="N4" s="5">
        <v>-12000.0</v>
      </c>
      <c r="O4" s="5">
        <v>0.0</v>
      </c>
      <c r="P4" s="5">
        <v>0.0</v>
      </c>
      <c r="Q4" s="5">
        <v>0.0</v>
      </c>
      <c r="R4" s="5">
        <v>0.0</v>
      </c>
      <c r="S4" s="5">
        <v>-15000.0</v>
      </c>
      <c r="T4" s="5">
        <f t="shared" si="3"/>
        <v>-15000</v>
      </c>
      <c r="U4" s="7">
        <f t="shared" si="4"/>
        <v>-1378.739284</v>
      </c>
      <c r="V4" s="7">
        <f t="shared" si="5"/>
        <v>29756.12373</v>
      </c>
      <c r="W4" s="2"/>
      <c r="X4" s="2"/>
      <c r="Y4" s="2"/>
      <c r="Z4" s="2"/>
    </row>
    <row r="5">
      <c r="A5" s="10">
        <v>2029.0</v>
      </c>
      <c r="B5" s="5">
        <f>'4. Ricavi Dettaglio'!B5</f>
        <v>20</v>
      </c>
      <c r="C5" s="5">
        <f>'4. Ricavi Dettaglio'!C5</f>
        <v>12000</v>
      </c>
      <c r="D5" s="7">
        <f t="shared" si="6"/>
        <v>29756.12373</v>
      </c>
      <c r="E5" s="7">
        <f>'2. Conto Economico'!AA5</f>
        <v>266017.8178</v>
      </c>
      <c r="F5" s="5">
        <v>-40000.0</v>
      </c>
      <c r="G5" s="5">
        <v>43000.0</v>
      </c>
      <c r="H5" s="5">
        <v>11060.0</v>
      </c>
      <c r="I5" s="5">
        <f>'2. Conto Economico'!U5+'2. Conto Economico'!V5</f>
        <v>10600</v>
      </c>
      <c r="J5" s="7">
        <f t="shared" si="1"/>
        <v>290677.8178</v>
      </c>
      <c r="K5" s="7">
        <f>-(('2. Conto Economico'!E5*45/365)-('2. Conto Economico'!E4*45/365))</f>
        <v>-54077.18597</v>
      </c>
      <c r="L5" s="7">
        <f>(('5. Costi Dettaglio'!B5*60/365)-('5. Costi Dettaglio'!B4*60/365))</f>
        <v>6953.023973</v>
      </c>
      <c r="M5" s="7">
        <f t="shared" si="2"/>
        <v>-47124.162</v>
      </c>
      <c r="N5" s="5">
        <v>-20000.0</v>
      </c>
      <c r="O5" s="7">
        <f>-'2. Conto Economico'!Z4</f>
        <v>-14111.33175</v>
      </c>
      <c r="P5" s="5">
        <v>0.0</v>
      </c>
      <c r="Q5" s="5">
        <v>0.0</v>
      </c>
      <c r="R5" s="5">
        <v>0.0</v>
      </c>
      <c r="S5" s="5">
        <v>-15000.0</v>
      </c>
      <c r="T5" s="5">
        <f t="shared" si="3"/>
        <v>-15000</v>
      </c>
      <c r="U5" s="7">
        <f t="shared" si="4"/>
        <v>194442.3241</v>
      </c>
      <c r="V5" s="7">
        <f t="shared" si="5"/>
        <v>224198.4478</v>
      </c>
      <c r="W5" s="2"/>
      <c r="X5" s="2"/>
      <c r="Y5" s="2"/>
      <c r="Z5" s="2"/>
    </row>
    <row r="6">
      <c r="A6" s="10">
        <v>2030.0</v>
      </c>
      <c r="B6" s="5">
        <f>'4. Ricavi Dettaglio'!B6</f>
        <v>35</v>
      </c>
      <c r="C6" s="5">
        <f>'4. Ricavi Dettaglio'!C6</f>
        <v>25000</v>
      </c>
      <c r="D6" s="7">
        <f t="shared" si="6"/>
        <v>224198.4478</v>
      </c>
      <c r="E6" s="7">
        <f>'2. Conto Economico'!AA6</f>
        <v>727465.2392</v>
      </c>
      <c r="F6" s="5">
        <v>-20000.0</v>
      </c>
      <c r="G6" s="5">
        <v>32000.0</v>
      </c>
      <c r="H6" s="5">
        <v>13860.0</v>
      </c>
      <c r="I6" s="5">
        <f>'2. Conto Economico'!U6+'2. Conto Economico'!V6</f>
        <v>14600</v>
      </c>
      <c r="J6" s="7">
        <f t="shared" si="1"/>
        <v>767925.2392</v>
      </c>
      <c r="K6" s="7">
        <f>-(('2. Conto Economico'!E6*45/365)-('2. Conto Economico'!E5*45/365))</f>
        <v>-97222.49877</v>
      </c>
      <c r="L6" s="7">
        <f>(('5. Costi Dettaglio'!B6*60/365)-('5. Costi Dettaglio'!B5*60/365))</f>
        <v>12878.16935</v>
      </c>
      <c r="M6" s="7">
        <f t="shared" si="2"/>
        <v>-84344.32942</v>
      </c>
      <c r="N6" s="5">
        <v>-24000.0</v>
      </c>
      <c r="O6" s="7">
        <f>-'2. Conto Economico'!Z5</f>
        <v>-102938.9337</v>
      </c>
      <c r="P6" s="5">
        <v>0.0</v>
      </c>
      <c r="Q6" s="5">
        <v>0.0</v>
      </c>
      <c r="R6" s="5">
        <v>0.0</v>
      </c>
      <c r="S6" s="5">
        <v>-15000.0</v>
      </c>
      <c r="T6" s="5">
        <f t="shared" si="3"/>
        <v>-15000</v>
      </c>
      <c r="U6" s="7">
        <f t="shared" si="4"/>
        <v>541641.9761</v>
      </c>
      <c r="V6" s="7">
        <f t="shared" si="5"/>
        <v>765840.4239</v>
      </c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86"/>
  </cols>
  <sheetData>
    <row r="1">
      <c r="A1" s="9" t="s">
        <v>51</v>
      </c>
      <c r="B1" s="9" t="s">
        <v>78</v>
      </c>
      <c r="C1" s="9" t="s">
        <v>79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2026.0</v>
      </c>
      <c r="B2" s="5">
        <f>'8. Parametri'!E3</f>
        <v>1</v>
      </c>
      <c r="C2" s="5">
        <f>'8. Parametri'!F3</f>
        <v>500</v>
      </c>
      <c r="D2" s="5">
        <f>B2*'8. Parametri'!$B$9*(1+'8. Parametri'!$B$10)^(A2-2026)</f>
        <v>12000</v>
      </c>
      <c r="E2" s="5">
        <f>C2*'8. Parametri'!$B$11*12*(1+'8. Parametri'!$B$12)^(A2-2026)</f>
        <v>18000</v>
      </c>
      <c r="F2" s="5">
        <f>B2*'8. Parametri'!$B$13</f>
        <v>3000</v>
      </c>
      <c r="G2" s="5">
        <f t="shared" ref="G2:G6" si="1">SUM(D2:F2)</f>
        <v>33000</v>
      </c>
      <c r="H2" s="5">
        <v>20000.0</v>
      </c>
      <c r="I2" s="5">
        <f t="shared" ref="I2:I6" si="2">SUM(G2:H2)</f>
        <v>53000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>
        <v>2027.0</v>
      </c>
      <c r="B3" s="5">
        <f>'8. Parametri'!E4</f>
        <v>4</v>
      </c>
      <c r="C3" s="5">
        <f>'8. Parametri'!F4</f>
        <v>2000</v>
      </c>
      <c r="D3" s="5">
        <f>B3*'8. Parametri'!$B$9*(1+'8. Parametri'!$B$10)^(A3-2026)</f>
        <v>50400</v>
      </c>
      <c r="E3" s="5">
        <f>C3*'8. Parametri'!$B$11*12*(1+'8. Parametri'!$B$12)^(A3-2026)</f>
        <v>74160</v>
      </c>
      <c r="F3" s="5">
        <f>(B3-B2)*'8. Parametri'!$B$13</f>
        <v>9000</v>
      </c>
      <c r="G3" s="5">
        <f t="shared" si="1"/>
        <v>133560</v>
      </c>
      <c r="H3" s="5">
        <v>35000.0</v>
      </c>
      <c r="I3" s="5">
        <f t="shared" si="2"/>
        <v>168560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2028.0</v>
      </c>
      <c r="B4" s="5">
        <f>'8. Parametri'!E5</f>
        <v>10</v>
      </c>
      <c r="C4" s="5">
        <f>'8. Parametri'!F5</f>
        <v>5000</v>
      </c>
      <c r="D4" s="5">
        <f>B4*'8. Parametri'!$B$9*(1+'8. Parametri'!$B$10)^(A4-2026)</f>
        <v>132300</v>
      </c>
      <c r="E4" s="5">
        <f>C4*'8. Parametri'!$B$11*12*(1+'8. Parametri'!$B$12)^(A4-2026)</f>
        <v>190962</v>
      </c>
      <c r="F4" s="5">
        <f>(B4-B3)*'8. Parametri'!$B$13</f>
        <v>18000</v>
      </c>
      <c r="G4" s="5">
        <f t="shared" si="1"/>
        <v>341262</v>
      </c>
      <c r="H4" s="5">
        <v>45000.0</v>
      </c>
      <c r="I4" s="5">
        <f t="shared" si="2"/>
        <v>386262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2029.0</v>
      </c>
      <c r="B5" s="5">
        <f>'8. Parametri'!E6</f>
        <v>20</v>
      </c>
      <c r="C5" s="5">
        <f>'8. Parametri'!F6</f>
        <v>12000</v>
      </c>
      <c r="D5" s="5">
        <f>B5*'8. Parametri'!$B$9*(1+'8. Parametri'!$B$10)^(A5-2026)</f>
        <v>277830</v>
      </c>
      <c r="E5" s="7">
        <f>C5*'8. Parametri'!$B$11*12*(1+'8. Parametri'!$B$12)^(A5-2026)</f>
        <v>472058.064</v>
      </c>
      <c r="F5" s="5">
        <f>(B5-B4)*'8. Parametri'!$B$13</f>
        <v>30000</v>
      </c>
      <c r="G5" s="7">
        <f t="shared" si="1"/>
        <v>779888.064</v>
      </c>
      <c r="H5" s="5">
        <v>40000.0</v>
      </c>
      <c r="I5" s="7">
        <f t="shared" si="2"/>
        <v>819888.064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2030.0</v>
      </c>
      <c r="B6" s="5">
        <f>'8. Parametri'!E7</f>
        <v>35</v>
      </c>
      <c r="C6" s="5">
        <f>'8. Parametri'!F7</f>
        <v>25000</v>
      </c>
      <c r="D6" s="7">
        <f>B6*'8. Parametri'!$B$9*(1+'8. Parametri'!$B$10)^(A6-2026)</f>
        <v>510512.625</v>
      </c>
      <c r="E6" s="7">
        <f>C6*'8. Parametri'!$B$11*12*(1+'8. Parametri'!$B$12)^(A6-2026)</f>
        <v>1012957.929</v>
      </c>
      <c r="F6" s="5">
        <f>(B6-B5)*'8. Parametri'!$B$13</f>
        <v>45000</v>
      </c>
      <c r="G6" s="7">
        <f t="shared" si="1"/>
        <v>1568470.554</v>
      </c>
      <c r="H6" s="5">
        <v>20000.0</v>
      </c>
      <c r="I6" s="7">
        <f t="shared" si="2"/>
        <v>1588470.554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8.71"/>
  </cols>
  <sheetData>
    <row r="1">
      <c r="A1" s="9" t="s">
        <v>51</v>
      </c>
      <c r="B1" s="9" t="s">
        <v>60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2026.0</v>
      </c>
      <c r="B2" s="5">
        <f>'4. Ricavi Dettaglio'!C2*'8. Parametri'!$B$16*12+'8. Parametri'!$B$17*(1+'8. Parametri'!$B$18)^(0)</f>
        <v>4500</v>
      </c>
      <c r="C2" s="5">
        <v>81840.0</v>
      </c>
      <c r="D2" s="5">
        <v>0.0</v>
      </c>
      <c r="E2" s="5">
        <v>9000.0</v>
      </c>
      <c r="F2" s="5">
        <v>5000.0</v>
      </c>
      <c r="G2" s="5">
        <v>6000.0</v>
      </c>
      <c r="H2" s="5">
        <v>6000.0</v>
      </c>
      <c r="I2" s="5">
        <v>5000.0</v>
      </c>
      <c r="J2" s="5">
        <f t="shared" ref="J2:J6" si="1">C2+SUM(E2:I2)</f>
        <v>112840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>
        <v>2027.0</v>
      </c>
      <c r="B3" s="5">
        <f>'4. Ricavi Dettaglio'!C3*'8. Parametri'!$B$16*12+'8. Parametri'!$B$17*(1+'8. Parametri'!$B$18)^(1)</f>
        <v>13725</v>
      </c>
      <c r="C3" s="5">
        <v>100800.0</v>
      </c>
      <c r="D3" s="5">
        <v>5800.0</v>
      </c>
      <c r="E3" s="5">
        <v>15000.0</v>
      </c>
      <c r="F3" s="5">
        <v>12000.0</v>
      </c>
      <c r="G3" s="5">
        <v>10000.0</v>
      </c>
      <c r="H3" s="5">
        <v>12000.0</v>
      </c>
      <c r="I3" s="5">
        <v>6000.0</v>
      </c>
      <c r="J3" s="5">
        <f t="shared" si="1"/>
        <v>155800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2028.0</v>
      </c>
      <c r="B4" s="5">
        <f>'4. Ricavi Dettaglio'!C4*'8. Parametri'!$B$16*12+'8. Parametri'!$B$17*(1+'8. Parametri'!$B$18)^(2)</f>
        <v>31983.75</v>
      </c>
      <c r="C4" s="5">
        <v>204400.0</v>
      </c>
      <c r="D4" s="5">
        <v>11940.0</v>
      </c>
      <c r="E4" s="5">
        <v>24000.0</v>
      </c>
      <c r="F4" s="5">
        <v>22000.0</v>
      </c>
      <c r="G4" s="5">
        <v>14000.0</v>
      </c>
      <c r="H4" s="5">
        <v>24000.0</v>
      </c>
      <c r="I4" s="5">
        <v>7000.0</v>
      </c>
      <c r="J4" s="5">
        <f t="shared" si="1"/>
        <v>295400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2029.0</v>
      </c>
      <c r="B5" s="5">
        <f>'4. Ricavi Dettaglio'!C5*'8. Parametri'!$B$16*12+'8. Parametri'!$B$17*(1+'8. Parametri'!$B$18)^(3)</f>
        <v>74281.3125</v>
      </c>
      <c r="C5" s="5">
        <v>249600.0</v>
      </c>
      <c r="D5" s="5">
        <v>11060.0</v>
      </c>
      <c r="E5" s="5">
        <v>28000.0</v>
      </c>
      <c r="F5" s="5">
        <v>30000.0</v>
      </c>
      <c r="G5" s="5">
        <v>18000.0</v>
      </c>
      <c r="H5" s="5">
        <v>32000.0</v>
      </c>
      <c r="I5" s="5">
        <v>8000.0</v>
      </c>
      <c r="J5" s="5">
        <f t="shared" si="1"/>
        <v>365600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2030.0</v>
      </c>
      <c r="B6" s="5">
        <f>'4. Ricavi Dettaglio'!C6*'8. Parametri'!$B$16*12+'8. Parametri'!$B$17*(1+'8. Parametri'!$B$18)^(4)</f>
        <v>152623.5094</v>
      </c>
      <c r="C6" s="5">
        <v>269280.0</v>
      </c>
      <c r="D6" s="5">
        <v>13860.0</v>
      </c>
      <c r="E6" s="5">
        <v>32000.0</v>
      </c>
      <c r="F6" s="5">
        <v>38000.0</v>
      </c>
      <c r="G6" s="5">
        <v>22000.0</v>
      </c>
      <c r="H6" s="5">
        <v>42000.0</v>
      </c>
      <c r="I6" s="5">
        <v>9000.0</v>
      </c>
      <c r="J6" s="5">
        <f t="shared" si="1"/>
        <v>412280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43"/>
    <col customWidth="1" min="6" max="6" width="8.71"/>
  </cols>
  <sheetData>
    <row r="1">
      <c r="A1" s="9" t="s">
        <v>51</v>
      </c>
      <c r="B1" s="9" t="s">
        <v>99</v>
      </c>
      <c r="C1" s="9" t="s">
        <v>100</v>
      </c>
      <c r="D1" s="9" t="s">
        <v>101</v>
      </c>
      <c r="E1" s="9" t="s">
        <v>102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2026.0</v>
      </c>
      <c r="B2" s="5" t="s">
        <v>103</v>
      </c>
      <c r="C2" s="5">
        <v>22000.0</v>
      </c>
      <c r="D2" s="5" t="s">
        <v>104</v>
      </c>
      <c r="E2" s="5">
        <v>27280.0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>
        <v>2026.0</v>
      </c>
      <c r="B3" s="5" t="s">
        <v>105</v>
      </c>
      <c r="C3" s="5">
        <v>22000.0</v>
      </c>
      <c r="D3" s="5" t="s">
        <v>104</v>
      </c>
      <c r="E3" s="5">
        <v>27280.0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2026.0</v>
      </c>
      <c r="B4" s="5" t="s">
        <v>106</v>
      </c>
      <c r="C4" s="5">
        <v>22000.0</v>
      </c>
      <c r="D4" s="5" t="s">
        <v>104</v>
      </c>
      <c r="E4" s="5">
        <v>27280.0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2027.0</v>
      </c>
      <c r="B5" s="5" t="s">
        <v>103</v>
      </c>
      <c r="C5" s="5">
        <v>28000.0</v>
      </c>
      <c r="D5" s="5" t="s">
        <v>107</v>
      </c>
      <c r="E5" s="5">
        <v>33600.0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2027.0</v>
      </c>
      <c r="B6" s="5" t="s">
        <v>105</v>
      </c>
      <c r="C6" s="5">
        <v>28000.0</v>
      </c>
      <c r="D6" s="5" t="s">
        <v>107</v>
      </c>
      <c r="E6" s="5">
        <v>33600.0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2027.0</v>
      </c>
      <c r="B7" s="5" t="s">
        <v>106</v>
      </c>
      <c r="C7" s="5">
        <v>28000.0</v>
      </c>
      <c r="D7" s="5" t="s">
        <v>107</v>
      </c>
      <c r="E7" s="5">
        <v>33600.0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2028.0</v>
      </c>
      <c r="B8" s="5" t="s">
        <v>103</v>
      </c>
      <c r="C8" s="5">
        <v>30000.0</v>
      </c>
      <c r="D8" s="5" t="s">
        <v>108</v>
      </c>
      <c r="E8" s="5">
        <v>40800.0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2028.0</v>
      </c>
      <c r="B9" s="5" t="s">
        <v>105</v>
      </c>
      <c r="C9" s="5">
        <v>30000.0</v>
      </c>
      <c r="D9" s="5" t="s">
        <v>108</v>
      </c>
      <c r="E9" s="5">
        <v>40800.0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2028.0</v>
      </c>
      <c r="B10" s="5" t="s">
        <v>106</v>
      </c>
      <c r="C10" s="5">
        <v>30000.0</v>
      </c>
      <c r="D10" s="5" t="s">
        <v>108</v>
      </c>
      <c r="E10" s="5">
        <v>40800.0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2028.0</v>
      </c>
      <c r="B11" s="5" t="s">
        <v>109</v>
      </c>
      <c r="C11" s="5">
        <v>28000.0</v>
      </c>
      <c r="D11" s="5" t="s">
        <v>108</v>
      </c>
      <c r="E11" s="5">
        <v>38080.0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2028.0</v>
      </c>
      <c r="B12" s="5" t="s">
        <v>110</v>
      </c>
      <c r="C12" s="5">
        <v>32000.0</v>
      </c>
      <c r="D12" s="5" t="s">
        <v>108</v>
      </c>
      <c r="E12" s="5">
        <v>43520.0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2029.0</v>
      </c>
      <c r="B13" s="5" t="s">
        <v>103</v>
      </c>
      <c r="C13" s="5">
        <v>32000.0</v>
      </c>
      <c r="D13" s="5" t="s">
        <v>108</v>
      </c>
      <c r="E13" s="5">
        <v>43520.0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2029.0</v>
      </c>
      <c r="B14" s="5" t="s">
        <v>105</v>
      </c>
      <c r="C14" s="5">
        <v>32000.0</v>
      </c>
      <c r="D14" s="5" t="s">
        <v>108</v>
      </c>
      <c r="E14" s="5">
        <v>43520.0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2029.0</v>
      </c>
      <c r="B15" s="5" t="s">
        <v>106</v>
      </c>
      <c r="C15" s="5">
        <v>32000.0</v>
      </c>
      <c r="D15" s="5" t="s">
        <v>108</v>
      </c>
      <c r="E15" s="5">
        <v>43520.0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2029.0</v>
      </c>
      <c r="B16" s="5" t="s">
        <v>109</v>
      </c>
      <c r="C16" s="5">
        <v>30000.0</v>
      </c>
      <c r="D16" s="5" t="s">
        <v>108</v>
      </c>
      <c r="E16" s="5">
        <v>40800.0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2029.0</v>
      </c>
      <c r="B17" s="5" t="s">
        <v>110</v>
      </c>
      <c r="C17" s="5">
        <v>34000.0</v>
      </c>
      <c r="D17" s="5" t="s">
        <v>108</v>
      </c>
      <c r="E17" s="5">
        <v>46240.0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2029.0</v>
      </c>
      <c r="B18" s="5" t="s">
        <v>111</v>
      </c>
      <c r="C18" s="5">
        <v>28000.0</v>
      </c>
      <c r="D18" s="5" t="s">
        <v>104</v>
      </c>
      <c r="E18" s="5">
        <v>34720.0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2030.0</v>
      </c>
      <c r="B19" s="5" t="s">
        <v>103</v>
      </c>
      <c r="C19" s="5">
        <v>34000.0</v>
      </c>
      <c r="D19" s="5" t="s">
        <v>108</v>
      </c>
      <c r="E19" s="5">
        <v>46240.0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2030.0</v>
      </c>
      <c r="B20" s="5" t="s">
        <v>105</v>
      </c>
      <c r="C20" s="5">
        <v>34000.0</v>
      </c>
      <c r="D20" s="5" t="s">
        <v>108</v>
      </c>
      <c r="E20" s="5">
        <v>46240.0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2030.0</v>
      </c>
      <c r="B21" s="5" t="s">
        <v>106</v>
      </c>
      <c r="C21" s="5">
        <v>34000.0</v>
      </c>
      <c r="D21" s="5" t="s">
        <v>108</v>
      </c>
      <c r="E21" s="5">
        <v>46240.0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2030.0</v>
      </c>
      <c r="B22" s="5" t="s">
        <v>109</v>
      </c>
      <c r="C22" s="5">
        <v>32000.0</v>
      </c>
      <c r="D22" s="5" t="s">
        <v>108</v>
      </c>
      <c r="E22" s="5">
        <v>43520.0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2030.0</v>
      </c>
      <c r="B23" s="5" t="s">
        <v>110</v>
      </c>
      <c r="C23" s="5">
        <v>36000.0</v>
      </c>
      <c r="D23" s="5" t="s">
        <v>108</v>
      </c>
      <c r="E23" s="5">
        <v>48960.0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2030.0</v>
      </c>
      <c r="B24" s="5" t="s">
        <v>111</v>
      </c>
      <c r="C24" s="5">
        <v>30000.0</v>
      </c>
      <c r="D24" s="5" t="s">
        <v>108</v>
      </c>
      <c r="E24" s="5">
        <v>40800.0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86"/>
  </cols>
  <sheetData>
    <row r="1">
      <c r="A1" s="9" t="s">
        <v>51</v>
      </c>
      <c r="B1" s="9" t="s">
        <v>112</v>
      </c>
      <c r="C1" s="9" t="s">
        <v>113</v>
      </c>
      <c r="D1" s="9" t="s">
        <v>114</v>
      </c>
      <c r="E1" s="9" t="s">
        <v>115</v>
      </c>
      <c r="F1" s="9" t="s">
        <v>116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2026.0</v>
      </c>
      <c r="B2" s="5">
        <v>15000.0</v>
      </c>
      <c r="C2" s="5">
        <v>80000.0</v>
      </c>
      <c r="D2" s="5">
        <v>60000.0</v>
      </c>
      <c r="E2" s="5">
        <v>0.0</v>
      </c>
      <c r="F2" s="5">
        <v>155000.0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>
        <v>2027.0</v>
      </c>
      <c r="B3" s="5">
        <v>0.0</v>
      </c>
      <c r="C3" s="5">
        <v>0.0</v>
      </c>
      <c r="D3" s="5">
        <v>0.0</v>
      </c>
      <c r="E3" s="5">
        <v>-15000.0</v>
      </c>
      <c r="F3" s="5">
        <v>-15000.0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2028.0</v>
      </c>
      <c r="B4" s="5">
        <v>0.0</v>
      </c>
      <c r="C4" s="5">
        <v>0.0</v>
      </c>
      <c r="D4" s="5">
        <v>0.0</v>
      </c>
      <c r="E4" s="5">
        <v>-15000.0</v>
      </c>
      <c r="F4" s="5">
        <v>-15000.0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2029.0</v>
      </c>
      <c r="B5" s="5">
        <v>0.0</v>
      </c>
      <c r="C5" s="5">
        <v>0.0</v>
      </c>
      <c r="D5" s="5">
        <v>0.0</v>
      </c>
      <c r="E5" s="5">
        <v>-15000.0</v>
      </c>
      <c r="F5" s="5">
        <v>-15000.0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2030.0</v>
      </c>
      <c r="B6" s="5">
        <v>0.0</v>
      </c>
      <c r="C6" s="5">
        <v>0.0</v>
      </c>
      <c r="D6" s="5">
        <v>0.0</v>
      </c>
      <c r="E6" s="5">
        <v>-15000.0</v>
      </c>
      <c r="F6" s="5">
        <v>-15000.0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14"/>
    <col customWidth="1" min="3" max="3" width="16.86"/>
    <col customWidth="1" min="4" max="6" width="16.0"/>
  </cols>
  <sheetData>
    <row r="1">
      <c r="A1" s="1" t="s">
        <v>117</v>
      </c>
      <c r="B1" s="1" t="s">
        <v>1</v>
      </c>
      <c r="C1" s="2"/>
      <c r="D1" s="11" t="s">
        <v>118</v>
      </c>
      <c r="E1" s="1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119</v>
      </c>
      <c r="B2" s="4"/>
      <c r="C2" s="2"/>
      <c r="D2" s="13" t="s">
        <v>51</v>
      </c>
      <c r="E2" s="13" t="s">
        <v>120</v>
      </c>
      <c r="F2" s="13" t="s">
        <v>121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14</v>
      </c>
      <c r="B3" s="5">
        <v>1.0</v>
      </c>
      <c r="C3" s="2"/>
      <c r="D3" s="14">
        <v>2026.0</v>
      </c>
      <c r="E3" s="14">
        <v>1.0</v>
      </c>
      <c r="F3" s="14">
        <v>500.0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15</v>
      </c>
      <c r="B4" s="5">
        <v>35.0</v>
      </c>
      <c r="C4" s="2"/>
      <c r="D4" s="14">
        <v>2027.0</v>
      </c>
      <c r="E4" s="14">
        <v>4.0</v>
      </c>
      <c r="F4" s="14">
        <v>2000.0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18</v>
      </c>
      <c r="B5" s="5">
        <v>500.0</v>
      </c>
      <c r="C5" s="2"/>
      <c r="D5" s="14">
        <v>2028.0</v>
      </c>
      <c r="E5" s="14">
        <v>10.0</v>
      </c>
      <c r="F5" s="14">
        <v>5000.0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19</v>
      </c>
      <c r="B6" s="5">
        <v>25000.0</v>
      </c>
      <c r="C6" s="2"/>
      <c r="D6" s="14">
        <v>2029.0</v>
      </c>
      <c r="E6" s="14">
        <v>20.0</v>
      </c>
      <c r="F6" s="14">
        <v>12000.0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14">
        <v>2030.0</v>
      </c>
      <c r="E7" s="14">
        <v>35.0</v>
      </c>
      <c r="F7" s="14">
        <v>25000.0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122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123</v>
      </c>
      <c r="B9" s="5">
        <v>12000.0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124</v>
      </c>
      <c r="B10" s="5">
        <v>0.05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125</v>
      </c>
      <c r="B11" s="5">
        <v>3.0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126</v>
      </c>
      <c r="B12" s="5">
        <v>0.03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127</v>
      </c>
      <c r="B13" s="5">
        <v>3000.0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128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129</v>
      </c>
      <c r="B16" s="5">
        <v>0.5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130</v>
      </c>
      <c r="B17" s="5">
        <v>1500.0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131</v>
      </c>
      <c r="B18" s="5">
        <v>0.15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132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133</v>
      </c>
      <c r="B21" s="5" t="s">
        <v>134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135</v>
      </c>
      <c r="B22" s="5" t="s">
        <v>136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2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3</v>
      </c>
      <c r="B25" s="5" t="s">
        <v>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137</v>
      </c>
      <c r="B26" s="5" t="s">
        <v>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138</v>
      </c>
      <c r="B27" s="5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139</v>
      </c>
      <c r="B28" s="5" t="s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140</v>
      </c>
      <c r="B29" s="5" t="s">
        <v>141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6">
    <mergeCell ref="D1:F1"/>
    <mergeCell ref="A2:B2"/>
    <mergeCell ref="A8:B8"/>
    <mergeCell ref="A15:B15"/>
    <mergeCell ref="A20:B20"/>
    <mergeCell ref="A24:B24"/>
  </mergeCells>
  <printOptions/>
  <pageMargins bottom="1.0" footer="0.0" header="0.0" left="0.75" right="0.75" top="1.0"/>
  <pageSetup orientation="landscape"/>
  <drawing r:id="rId1"/>
</worksheet>
</file>